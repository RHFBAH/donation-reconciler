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F\Downloads\"/>
    </mc:Choice>
  </mc:AlternateContent>
  <xr:revisionPtr revIDLastSave="0" documentId="8_{F5126BDB-DD3C-47BF-9A01-71BB12427AAA}" xr6:coauthVersionLast="47" xr6:coauthVersionMax="47" xr10:uidLastSave="{00000000-0000-0000-0000-000000000000}"/>
  <bookViews>
    <workbookView xWindow="-110" yWindow="-110" windowWidth="19420" windowHeight="11500" xr2:uid="{EC4A5480-9B30-4C58-AA02-A2164C63C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C31" i="1"/>
  <c r="G30" i="1"/>
  <c r="C30" i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G22" i="1"/>
  <c r="C22" i="1"/>
  <c r="G21" i="1"/>
  <c r="C21" i="1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G6" i="1"/>
  <c r="C6" i="1"/>
  <c r="G5" i="1"/>
  <c r="C5" i="1"/>
  <c r="G4" i="1"/>
  <c r="C4" i="1"/>
  <c r="G3" i="1"/>
  <c r="C3" i="1"/>
  <c r="G2" i="1"/>
  <c r="C2" i="1"/>
</calcChain>
</file>

<file path=xl/sharedStrings.xml><?xml version="1.0" encoding="utf-8"?>
<sst xmlns="http://schemas.openxmlformats.org/spreadsheetml/2006/main" count="322" uniqueCount="185">
  <si>
    <t>Name</t>
  </si>
  <si>
    <t>Email</t>
  </si>
  <si>
    <t>Phone</t>
  </si>
  <si>
    <t>Order Items</t>
  </si>
  <si>
    <t>Order Qty</t>
  </si>
  <si>
    <t>Order Amount</t>
  </si>
  <si>
    <t>Order Created At</t>
  </si>
  <si>
    <t>Transactions Id</t>
  </si>
  <si>
    <t>Invoice Id</t>
  </si>
  <si>
    <t>Currency</t>
  </si>
  <si>
    <t>Transaction Amount</t>
  </si>
  <si>
    <t>Is Paid</t>
  </si>
  <si>
    <t>Paid On</t>
  </si>
  <si>
    <t>Payment Method</t>
  </si>
  <si>
    <t>Error Code</t>
  </si>
  <si>
    <t>Error Message</t>
  </si>
  <si>
    <t>Status</t>
  </si>
  <si>
    <t>Auth Resp Code</t>
  </si>
  <si>
    <t>Auth Code</t>
  </si>
  <si>
    <t>Gateway Code</t>
  </si>
  <si>
    <t>Payment Id</t>
  </si>
  <si>
    <t>Dcc Uptake</t>
  </si>
  <si>
    <t>Dcc Ccy</t>
  </si>
  <si>
    <t>Dcc Amount</t>
  </si>
  <si>
    <t>Dcc Receipt Text</t>
  </si>
  <si>
    <t>Order Items Summary</t>
  </si>
  <si>
    <t>Maryam alkhaldi</t>
  </si>
  <si>
    <t>mariam.alamiri.19@gmail.com</t>
  </si>
  <si>
    <t>General Donation,Humanitarian Aid</t>
  </si>
  <si>
    <t>5,5</t>
  </si>
  <si>
    <t>1768893515981351671</t>
  </si>
  <si>
    <t>INV1768893503</t>
  </si>
  <si>
    <t>BHD</t>
  </si>
  <si>
    <t>2026-01-20T07:20:30.107+00:00</t>
  </si>
  <si>
    <t>Debit Card</t>
  </si>
  <si>
    <t>PAID</t>
  </si>
  <si>
    <t>00</t>
  </si>
  <si>
    <t>CAPTURED</t>
  </si>
  <si>
    <t>302202602046758133</t>
  </si>
  <si>
    <t>General Donation x5 (1.000), Humanitarian Aid x5 (1.000)</t>
  </si>
  <si>
    <t>Mashael</t>
  </si>
  <si>
    <t>mashaelalbassam10@gmail.com</t>
  </si>
  <si>
    <t>General Donation</t>
  </si>
  <si>
    <t>1768784245320351015</t>
  </si>
  <si>
    <t>INV1768784231</t>
  </si>
  <si>
    <t>2026-01-19T00:57:29.848+00:00</t>
  </si>
  <si>
    <t>Apple Pay</t>
  </si>
  <si>
    <t>APPROVED</t>
  </si>
  <si>
    <t>General Donation x1 (1.000)</t>
  </si>
  <si>
    <t>Ghida saeed</t>
  </si>
  <si>
    <t>ghida.89q@hotmail.com</t>
  </si>
  <si>
    <t>Humanitarian Aid</t>
  </si>
  <si>
    <t>1768748093819350866</t>
  </si>
  <si>
    <t>INV1768748086</t>
  </si>
  <si>
    <t>2026-01-18T14:56:23.190+00:00</t>
  </si>
  <si>
    <t>302202601875952871</t>
  </si>
  <si>
    <t>Humanitarian Aid x1 (1.000)</t>
  </si>
  <si>
    <t>Khaled</t>
  </si>
  <si>
    <t>khaledalkhalifa79@gmail.com</t>
  </si>
  <si>
    <t>Zakat</t>
  </si>
  <si>
    <t>1768741170876350820</t>
  </si>
  <si>
    <t>INV1768741167</t>
  </si>
  <si>
    <t>2026-01-18T12:59:53.093+00:00</t>
  </si>
  <si>
    <t>302202601879414347</t>
  </si>
  <si>
    <t>Zakat x45 (1.000)</t>
  </si>
  <si>
    <t>Sadeem Fawad</t>
  </si>
  <si>
    <t>sdm.fawad@gmail.com</t>
  </si>
  <si>
    <t>1768644634032350207</t>
  </si>
  <si>
    <t>INV1768644625</t>
  </si>
  <si>
    <t>2026-01-17T10:12:44.032+00:00</t>
  </si>
  <si>
    <t>302202601777682710</t>
  </si>
  <si>
    <t>Ø³Ø¬Ù‰</t>
  </si>
  <si>
    <t>saja.khalil20@gmail.com</t>
  </si>
  <si>
    <t>1768603238682350031</t>
  </si>
  <si>
    <t>INV1768603231</t>
  </si>
  <si>
    <t>2026-01-16T22:40:54.236+00:00</t>
  </si>
  <si>
    <t>302202601798380468</t>
  </si>
  <si>
    <t>Salman</t>
  </si>
  <si>
    <t>salmanqa112@gmail.com</t>
  </si>
  <si>
    <t>1768570366235349806</t>
  </si>
  <si>
    <t>INV1768570344</t>
  </si>
  <si>
    <t>2026-01-16T13:32:48.912+00:00</t>
  </si>
  <si>
    <t>038919</t>
  </si>
  <si>
    <t>Ø¹Ø¨Ø¯Ø§Ù„Ø±Ø­Ù…Ù†</t>
  </si>
  <si>
    <t>im6thiago@gmail.com</t>
  </si>
  <si>
    <t>Health Projects</t>
  </si>
  <si>
    <t>1768561955184349724</t>
  </si>
  <si>
    <t>INV1768561898</t>
  </si>
  <si>
    <t>2026-01-16T11:12:39.043+00:00</t>
  </si>
  <si>
    <t>Health Projects x10 (1.000)</t>
  </si>
  <si>
    <t>WA</t>
  </si>
  <si>
    <t>waleedalsamel111@gmail.com</t>
  </si>
  <si>
    <t>Indebted individuals</t>
  </si>
  <si>
    <t>1768554864928349613</t>
  </si>
  <si>
    <t>INV1768554849</t>
  </si>
  <si>
    <t>2026-01-16T09:14:28.512+00:00</t>
  </si>
  <si>
    <t>Indebted individuals x1 (1.000)</t>
  </si>
  <si>
    <t>Kunhi Mohammed</t>
  </si>
  <si>
    <t>vk.kunhimohammed@gmail.com</t>
  </si>
  <si>
    <t>Educational Projects,Productive families</t>
  </si>
  <si>
    <t>25,25</t>
  </si>
  <si>
    <t>1768549616639349552</t>
  </si>
  <si>
    <t>INV1768549567</t>
  </si>
  <si>
    <t>2026-01-16T07:47:20.380+00:00</t>
  </si>
  <si>
    <t>Credit Card</t>
  </si>
  <si>
    <t>T49177</t>
  </si>
  <si>
    <t>Educational Projects x25 (1.000), Productive families x25 (1.000)</t>
  </si>
  <si>
    <t>Sara</t>
  </si>
  <si>
    <t>Alkhaliifaa11@gmail.com</t>
  </si>
  <si>
    <t>1768506352219349388</t>
  </si>
  <si>
    <t>INV1768506344</t>
  </si>
  <si>
    <t>2026-01-15T19:46:19.057+00:00</t>
  </si>
  <si>
    <t>302202601596823595</t>
  </si>
  <si>
    <t>General Donation x2 (1.000)</t>
  </si>
  <si>
    <t>ÙˆÙ„Ø§Ø¡ Ù…Ø­Ù…Ø¯ Ø§Ù„Ø³ÙŠØ¯ ØµØ§Ø¯Ù‚</t>
  </si>
  <si>
    <t>miss_94_august@hotmail.com</t>
  </si>
  <si>
    <t>Productive families</t>
  </si>
  <si>
    <t>1768458680390349017</t>
  </si>
  <si>
    <t>INV1768458675</t>
  </si>
  <si>
    <t>2026-01-15T06:31:51.879+00:00</t>
  </si>
  <si>
    <t>302202601529340471</t>
  </si>
  <si>
    <t>Productive families x1 (1.000)</t>
  </si>
  <si>
    <t>Ø¹Ø¨Ø¯Ø§Ù„Ø±Ø­Ù…Ù† Ù…Ø¬ÙŠØ¯ Ù‡Ø¬ÙŠØ¬ Ø§Ø±ÙˆÙŠÙ„ÙŠ Ø§Ù„Ø¹Ø´Ø¨Ø§Ù†</t>
  </si>
  <si>
    <t>abodmh113@gmail.com</t>
  </si>
  <si>
    <t>1768388600333348680</t>
  </si>
  <si>
    <t>INV1768388593</t>
  </si>
  <si>
    <t>2026-01-14T11:04:46.534+00:00</t>
  </si>
  <si>
    <t>302202601444300478</t>
  </si>
  <si>
    <t>Health Projects x3 (1.000)</t>
  </si>
  <si>
    <t>Ø¹Ø¨Ø¯Ø§Ù„Ø±Ø­Ù…Ù† Ø¹Ø¨Ø¯Ø§Ù„Ù„Ù‡ Ø´Ø±ÙŠØ¯Ø©</t>
  </si>
  <si>
    <t>a69a92@gmail.com</t>
  </si>
  <si>
    <t>1768232871717347760</t>
  </si>
  <si>
    <t>INV1768232842</t>
  </si>
  <si>
    <t>2026-01-12T15:47:55.362+00:00</t>
  </si>
  <si>
    <t>Zakat x570 (1.000)</t>
  </si>
  <si>
    <t>Roaya</t>
  </si>
  <si>
    <t>roaya.2266@gmail.com</t>
  </si>
  <si>
    <t>1768174240596347389</t>
  </si>
  <si>
    <t>INV1768174223</t>
  </si>
  <si>
    <t>2026-01-11T23:30:44.917+00:00</t>
  </si>
  <si>
    <t>Amina</t>
  </si>
  <si>
    <t>ameena.buk@gmail.com</t>
  </si>
  <si>
    <t>Health Projects,Educational Projects,Insulin pumps</t>
  </si>
  <si>
    <t>1,1,1</t>
  </si>
  <si>
    <t>1768137668535347196</t>
  </si>
  <si>
    <t>INV1768137654</t>
  </si>
  <si>
    <t>2026-01-11T13:21:12.272+00:00</t>
  </si>
  <si>
    <t>051588</t>
  </si>
  <si>
    <t>Health Projects x1 (1.000), Educational Projects x1 (1.000), Insulin pumps x1 (1.000)</t>
  </si>
  <si>
    <t>1767965596428346334</t>
  </si>
  <si>
    <t>INV1767965580</t>
  </si>
  <si>
    <t>2026-01-09T13:33:19.290+00:00</t>
  </si>
  <si>
    <t>011653</t>
  </si>
  <si>
    <t>Saja</t>
  </si>
  <si>
    <t>1767963520890346301</t>
  </si>
  <si>
    <t>INV1767963512</t>
  </si>
  <si>
    <t>2026-01-09T12:58:58.895+00:00</t>
  </si>
  <si>
    <t>302202600968239284</t>
  </si>
  <si>
    <t>1767957133351346236</t>
  </si>
  <si>
    <t>INV1767957120</t>
  </si>
  <si>
    <t>2026-01-09T11:12:17.262+00:00</t>
  </si>
  <si>
    <t>Health Projects x11 (1.000)</t>
  </si>
  <si>
    <t>Prabhakaran</t>
  </si>
  <si>
    <t>prabhakaran@raretechonline.com</t>
  </si>
  <si>
    <t>1767955197503346207</t>
  </si>
  <si>
    <t>INV1767955175</t>
  </si>
  <si>
    <t>2026-01-09T10:40:25.296+00:00</t>
  </si>
  <si>
    <t>General Donation x1</t>
  </si>
  <si>
    <t>Walaa Mohamed</t>
  </si>
  <si>
    <t>Productive families x1</t>
  </si>
  <si>
    <t>Ø·Ù„Ø§Ù„ Ø¹Ø¨Ø¯Ø§Ù„Ù„Ù‡ Ø§Ù„ØºØ§Ù†Ù…</t>
  </si>
  <si>
    <t>talalalghanem@yahoo.com</t>
  </si>
  <si>
    <t>General Donation x10</t>
  </si>
  <si>
    <t>ÙˆÙ„Ø§Ø¡ Ù…Ø­Ù…Ø¯</t>
  </si>
  <si>
    <t>General Donation x2</t>
  </si>
  <si>
    <t>Ø¹Ø§Ø¦Ø´Ø©</t>
  </si>
  <si>
    <t>aysha.mohsin909@gmail.com</t>
  </si>
  <si>
    <t>Health Projects x1</t>
  </si>
  <si>
    <t>Ali Mohamed</t>
  </si>
  <si>
    <t>almohammed@uob.edu.bh</t>
  </si>
  <si>
    <t>Indebted individuals x1</t>
  </si>
  <si>
    <t>Hisham</t>
  </si>
  <si>
    <t>hishamsultani@hotmail.com</t>
  </si>
  <si>
    <t>Humanitarian Aid x10</t>
  </si>
  <si>
    <t>Health Projects 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</si>
</sst>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20B1-B3CA-4C44-BE26-58DF40145DC5}">
  <dimension ref="A1:Z31"/>
  <sheetViews>
    <sheetView tabSelected="1" workbookViewId="0">
      <selection sqref="A1:BP31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t="str">
        <f>"+97366943422"</f>
        <v>+97366943422</v>
      </c>
      <c r="D2" t="s">
        <v>28</v>
      </c>
      <c r="E2" t="s">
        <v>29</v>
      </c>
      <c r="F2">
        <v>10</v>
      </c>
      <c r="G2" t="str">
        <f>"2026-01-20 07:20:31"</f>
        <v>2026-01-20 07:20:31</v>
      </c>
      <c r="H2" s="1" t="s">
        <v>30</v>
      </c>
      <c r="I2" t="s">
        <v>31</v>
      </c>
      <c r="J2" t="s">
        <v>32</v>
      </c>
      <c r="K2">
        <v>10</v>
      </c>
      <c r="L2">
        <v>1</v>
      </c>
      <c r="M2" t="s">
        <v>33</v>
      </c>
      <c r="N2" t="s">
        <v>34</v>
      </c>
      <c r="Q2" t="s">
        <v>35</v>
      </c>
      <c r="R2" s="1" t="s">
        <v>36</v>
      </c>
      <c r="S2">
        <v>372290</v>
      </c>
      <c r="T2" t="s">
        <v>37</v>
      </c>
      <c r="U2" s="1" t="s">
        <v>38</v>
      </c>
      <c r="Z2" t="s">
        <v>39</v>
      </c>
    </row>
    <row r="3" spans="1:26" x14ac:dyDescent="0.35">
      <c r="A3" t="s">
        <v>40</v>
      </c>
      <c r="B3" t="s">
        <v>41</v>
      </c>
      <c r="C3" t="str">
        <f>"+97333201850"</f>
        <v>+97333201850</v>
      </c>
      <c r="D3" t="s">
        <v>42</v>
      </c>
      <c r="E3">
        <v>1</v>
      </c>
      <c r="F3">
        <v>1</v>
      </c>
      <c r="G3" t="str">
        <f>"2026-01-19 00:57:30"</f>
        <v>2026-01-19 00:57:30</v>
      </c>
      <c r="H3" s="1" t="s">
        <v>43</v>
      </c>
      <c r="I3" t="s">
        <v>44</v>
      </c>
      <c r="J3" t="s">
        <v>32</v>
      </c>
      <c r="K3">
        <v>1</v>
      </c>
      <c r="L3">
        <v>1</v>
      </c>
      <c r="M3" t="s">
        <v>45</v>
      </c>
      <c r="N3" t="s">
        <v>46</v>
      </c>
      <c r="Q3" t="s">
        <v>35</v>
      </c>
      <c r="R3" s="1" t="s">
        <v>36</v>
      </c>
      <c r="S3">
        <v>213624</v>
      </c>
      <c r="T3" t="s">
        <v>47</v>
      </c>
      <c r="Z3" t="s">
        <v>48</v>
      </c>
    </row>
    <row r="4" spans="1:26" x14ac:dyDescent="0.35">
      <c r="A4" t="s">
        <v>49</v>
      </c>
      <c r="B4" t="s">
        <v>50</v>
      </c>
      <c r="C4" t="str">
        <f>"+97339222069"</f>
        <v>+97339222069</v>
      </c>
      <c r="D4" t="s">
        <v>51</v>
      </c>
      <c r="E4">
        <v>1</v>
      </c>
      <c r="F4">
        <v>1</v>
      </c>
      <c r="G4" t="str">
        <f>"2026-01-18 14:56:24"</f>
        <v>2026-01-18 14:56:24</v>
      </c>
      <c r="H4" s="1" t="s">
        <v>52</v>
      </c>
      <c r="I4" t="s">
        <v>53</v>
      </c>
      <c r="J4" t="s">
        <v>32</v>
      </c>
      <c r="K4">
        <v>1</v>
      </c>
      <c r="L4">
        <v>1</v>
      </c>
      <c r="M4" t="s">
        <v>54</v>
      </c>
      <c r="N4" t="s">
        <v>34</v>
      </c>
      <c r="Q4" t="s">
        <v>35</v>
      </c>
      <c r="R4" s="1" t="s">
        <v>36</v>
      </c>
      <c r="S4">
        <v>614582</v>
      </c>
      <c r="T4" t="s">
        <v>37</v>
      </c>
      <c r="U4" s="1" t="s">
        <v>55</v>
      </c>
      <c r="Z4" t="s">
        <v>56</v>
      </c>
    </row>
    <row r="5" spans="1:26" x14ac:dyDescent="0.35">
      <c r="A5" t="s">
        <v>57</v>
      </c>
      <c r="B5" t="s">
        <v>58</v>
      </c>
      <c r="C5" t="str">
        <f>"+97333400100"</f>
        <v>+97333400100</v>
      </c>
      <c r="D5" t="s">
        <v>59</v>
      </c>
      <c r="E5">
        <v>45</v>
      </c>
      <c r="F5">
        <v>45</v>
      </c>
      <c r="G5" t="str">
        <f>"2026-01-18 12:59:55"</f>
        <v>2026-01-18 12:59:55</v>
      </c>
      <c r="H5" s="1" t="s">
        <v>60</v>
      </c>
      <c r="I5" t="s">
        <v>61</v>
      </c>
      <c r="J5" t="s">
        <v>32</v>
      </c>
      <c r="K5">
        <v>45</v>
      </c>
      <c r="L5">
        <v>1</v>
      </c>
      <c r="M5" t="s">
        <v>62</v>
      </c>
      <c r="N5" t="s">
        <v>34</v>
      </c>
      <c r="Q5" t="s">
        <v>35</v>
      </c>
      <c r="R5" s="1" t="s">
        <v>36</v>
      </c>
      <c r="S5">
        <v>457592</v>
      </c>
      <c r="T5" t="s">
        <v>37</v>
      </c>
      <c r="U5" s="1" t="s">
        <v>63</v>
      </c>
      <c r="Z5" t="s">
        <v>64</v>
      </c>
    </row>
    <row r="6" spans="1:26" x14ac:dyDescent="0.35">
      <c r="A6" t="s">
        <v>65</v>
      </c>
      <c r="B6" t="s">
        <v>66</v>
      </c>
      <c r="C6" t="str">
        <f>"+97335520811"</f>
        <v>+97335520811</v>
      </c>
      <c r="D6" t="s">
        <v>42</v>
      </c>
      <c r="E6">
        <v>1</v>
      </c>
      <c r="F6">
        <v>1</v>
      </c>
      <c r="G6" t="str">
        <f>"2026-01-17 10:12:46"</f>
        <v>2026-01-17 10:12:46</v>
      </c>
      <c r="H6" s="1" t="s">
        <v>67</v>
      </c>
      <c r="I6" t="s">
        <v>68</v>
      </c>
      <c r="J6" t="s">
        <v>32</v>
      </c>
      <c r="K6">
        <v>1</v>
      </c>
      <c r="L6">
        <v>1</v>
      </c>
      <c r="M6" t="s">
        <v>69</v>
      </c>
      <c r="N6" t="s">
        <v>34</v>
      </c>
      <c r="Q6" t="s">
        <v>35</v>
      </c>
      <c r="R6" s="1" t="s">
        <v>36</v>
      </c>
      <c r="S6">
        <v>347040</v>
      </c>
      <c r="T6" t="s">
        <v>37</v>
      </c>
      <c r="U6" s="1" t="s">
        <v>70</v>
      </c>
      <c r="Z6" t="s">
        <v>48</v>
      </c>
    </row>
    <row r="7" spans="1:26" x14ac:dyDescent="0.35">
      <c r="A7" t="s">
        <v>71</v>
      </c>
      <c r="B7" t="s">
        <v>72</v>
      </c>
      <c r="C7" t="str">
        <f>"+97334395564"</f>
        <v>+97334395564</v>
      </c>
      <c r="D7" t="s">
        <v>42</v>
      </c>
      <c r="E7">
        <v>1</v>
      </c>
      <c r="F7">
        <v>1</v>
      </c>
      <c r="G7" t="str">
        <f>"2026-01-16 22:40:57"</f>
        <v>2026-01-16 22:40:57</v>
      </c>
      <c r="H7" s="1" t="s">
        <v>73</v>
      </c>
      <c r="I7" t="s">
        <v>74</v>
      </c>
      <c r="J7" t="s">
        <v>32</v>
      </c>
      <c r="K7">
        <v>1</v>
      </c>
      <c r="L7">
        <v>1</v>
      </c>
      <c r="M7" t="s">
        <v>75</v>
      </c>
      <c r="N7" t="s">
        <v>34</v>
      </c>
      <c r="Q7" t="s">
        <v>35</v>
      </c>
      <c r="R7" s="1" t="s">
        <v>36</v>
      </c>
      <c r="S7">
        <v>892985</v>
      </c>
      <c r="T7" t="s">
        <v>37</v>
      </c>
      <c r="U7" s="1" t="s">
        <v>76</v>
      </c>
      <c r="Z7" t="s">
        <v>48</v>
      </c>
    </row>
    <row r="8" spans="1:26" x14ac:dyDescent="0.35">
      <c r="A8" t="s">
        <v>77</v>
      </c>
      <c r="B8" t="s">
        <v>78</v>
      </c>
      <c r="C8" t="str">
        <f>"+97334441372"</f>
        <v>+97334441372</v>
      </c>
      <c r="D8" t="s">
        <v>42</v>
      </c>
      <c r="E8">
        <v>1</v>
      </c>
      <c r="F8">
        <v>1</v>
      </c>
      <c r="G8" t="str">
        <f>"2026-01-16 13:32:49"</f>
        <v>2026-01-16 13:32:49</v>
      </c>
      <c r="H8" s="1" t="s">
        <v>79</v>
      </c>
      <c r="I8" t="s">
        <v>80</v>
      </c>
      <c r="J8" t="s">
        <v>32</v>
      </c>
      <c r="K8">
        <v>1</v>
      </c>
      <c r="L8">
        <v>1</v>
      </c>
      <c r="M8" t="s">
        <v>81</v>
      </c>
      <c r="N8" t="s">
        <v>46</v>
      </c>
      <c r="Q8" t="s">
        <v>35</v>
      </c>
      <c r="R8" s="1" t="s">
        <v>36</v>
      </c>
      <c r="S8" s="1" t="s">
        <v>82</v>
      </c>
      <c r="T8" t="s">
        <v>47</v>
      </c>
      <c r="Z8" t="s">
        <v>48</v>
      </c>
    </row>
    <row r="9" spans="1:26" x14ac:dyDescent="0.35">
      <c r="A9" t="s">
        <v>83</v>
      </c>
      <c r="B9" t="s">
        <v>84</v>
      </c>
      <c r="C9" t="str">
        <f>"+97336652286"</f>
        <v>+97336652286</v>
      </c>
      <c r="D9" t="s">
        <v>85</v>
      </c>
      <c r="E9">
        <v>10</v>
      </c>
      <c r="F9">
        <v>10</v>
      </c>
      <c r="G9" t="str">
        <f>"2026-01-16 11:12:40"</f>
        <v>2026-01-16 11:12:40</v>
      </c>
      <c r="H9" s="1" t="s">
        <v>86</v>
      </c>
      <c r="I9" t="s">
        <v>87</v>
      </c>
      <c r="J9" t="s">
        <v>32</v>
      </c>
      <c r="K9">
        <v>10</v>
      </c>
      <c r="L9">
        <v>1</v>
      </c>
      <c r="M9" t="s">
        <v>88</v>
      </c>
      <c r="N9" t="s">
        <v>46</v>
      </c>
      <c r="Q9" t="s">
        <v>35</v>
      </c>
      <c r="R9" s="1" t="s">
        <v>36</v>
      </c>
      <c r="S9">
        <v>804629</v>
      </c>
      <c r="T9" t="s">
        <v>47</v>
      </c>
      <c r="Z9" t="s">
        <v>89</v>
      </c>
    </row>
    <row r="10" spans="1:26" x14ac:dyDescent="0.35">
      <c r="A10" t="s">
        <v>90</v>
      </c>
      <c r="B10" t="s">
        <v>91</v>
      </c>
      <c r="C10" t="str">
        <f>"+97338219325"</f>
        <v>+97338219325</v>
      </c>
      <c r="D10" t="s">
        <v>92</v>
      </c>
      <c r="E10">
        <v>1</v>
      </c>
      <c r="F10">
        <v>1</v>
      </c>
      <c r="G10" t="str">
        <f>"2026-01-16 09:14:35"</f>
        <v>2026-01-16 09:14:35</v>
      </c>
      <c r="H10" s="1" t="s">
        <v>93</v>
      </c>
      <c r="I10" t="s">
        <v>94</v>
      </c>
      <c r="J10" t="s">
        <v>32</v>
      </c>
      <c r="K10">
        <v>1</v>
      </c>
      <c r="L10">
        <v>1</v>
      </c>
      <c r="M10" t="s">
        <v>95</v>
      </c>
      <c r="N10" t="s">
        <v>46</v>
      </c>
      <c r="Q10" t="s">
        <v>35</v>
      </c>
      <c r="R10" s="1" t="s">
        <v>36</v>
      </c>
      <c r="S10">
        <v>796785</v>
      </c>
      <c r="T10" t="s">
        <v>47</v>
      </c>
      <c r="Z10" t="s">
        <v>96</v>
      </c>
    </row>
    <row r="11" spans="1:26" x14ac:dyDescent="0.35">
      <c r="A11" t="s">
        <v>97</v>
      </c>
      <c r="B11" t="s">
        <v>98</v>
      </c>
      <c r="C11" t="str">
        <f>"+97333149096"</f>
        <v>+97333149096</v>
      </c>
      <c r="D11" t="s">
        <v>99</v>
      </c>
      <c r="E11" t="s">
        <v>100</v>
      </c>
      <c r="F11">
        <v>50</v>
      </c>
      <c r="G11" t="str">
        <f>"2026-01-16 07:47:22"</f>
        <v>2026-01-16 07:47:22</v>
      </c>
      <c r="H11" s="1" t="s">
        <v>101</v>
      </c>
      <c r="I11" t="s">
        <v>102</v>
      </c>
      <c r="J11" t="s">
        <v>32</v>
      </c>
      <c r="K11">
        <v>50</v>
      </c>
      <c r="L11">
        <v>1</v>
      </c>
      <c r="M11" t="s">
        <v>103</v>
      </c>
      <c r="N11" t="s">
        <v>104</v>
      </c>
      <c r="Q11" t="s">
        <v>35</v>
      </c>
      <c r="R11" s="1" t="s">
        <v>36</v>
      </c>
      <c r="S11" t="s">
        <v>105</v>
      </c>
      <c r="T11" t="s">
        <v>47</v>
      </c>
      <c r="Z11" t="s">
        <v>106</v>
      </c>
    </row>
    <row r="12" spans="1:26" x14ac:dyDescent="0.35">
      <c r="A12" t="s">
        <v>107</v>
      </c>
      <c r="B12" t="s">
        <v>108</v>
      </c>
      <c r="C12" t="str">
        <f>"+97333788799"</f>
        <v>+97333788799</v>
      </c>
      <c r="D12" t="s">
        <v>42</v>
      </c>
      <c r="E12">
        <v>2</v>
      </c>
      <c r="F12">
        <v>2</v>
      </c>
      <c r="G12" t="str">
        <f>"2026-01-15 19:46:19"</f>
        <v>2026-01-15 19:46:19</v>
      </c>
      <c r="H12" s="1" t="s">
        <v>109</v>
      </c>
      <c r="I12" t="s">
        <v>110</v>
      </c>
      <c r="J12" t="s">
        <v>32</v>
      </c>
      <c r="K12">
        <v>2</v>
      </c>
      <c r="L12">
        <v>1</v>
      </c>
      <c r="M12" t="s">
        <v>111</v>
      </c>
      <c r="N12" t="s">
        <v>34</v>
      </c>
      <c r="Q12" t="s">
        <v>35</v>
      </c>
      <c r="R12" s="1" t="s">
        <v>36</v>
      </c>
      <c r="S12">
        <v>819780</v>
      </c>
      <c r="T12" t="s">
        <v>37</v>
      </c>
      <c r="U12" s="1" t="s">
        <v>112</v>
      </c>
      <c r="Z12" t="s">
        <v>113</v>
      </c>
    </row>
    <row r="13" spans="1:26" x14ac:dyDescent="0.35">
      <c r="A13" t="s">
        <v>114</v>
      </c>
      <c r="B13" t="s">
        <v>115</v>
      </c>
      <c r="C13" t="str">
        <f>"+97338006663"</f>
        <v>+97338006663</v>
      </c>
      <c r="D13" t="s">
        <v>116</v>
      </c>
      <c r="E13">
        <v>1</v>
      </c>
      <c r="F13">
        <v>1</v>
      </c>
      <c r="G13" t="str">
        <f>"2026-01-15 06:31:52"</f>
        <v>2026-01-15 06:31:52</v>
      </c>
      <c r="H13" s="1" t="s">
        <v>117</v>
      </c>
      <c r="I13" t="s">
        <v>118</v>
      </c>
      <c r="J13" t="s">
        <v>32</v>
      </c>
      <c r="K13">
        <v>1</v>
      </c>
      <c r="L13">
        <v>1</v>
      </c>
      <c r="M13" t="s">
        <v>119</v>
      </c>
      <c r="N13" t="s">
        <v>34</v>
      </c>
      <c r="Q13" t="s">
        <v>35</v>
      </c>
      <c r="R13" s="1" t="s">
        <v>36</v>
      </c>
      <c r="S13">
        <v>629040</v>
      </c>
      <c r="T13" t="s">
        <v>37</v>
      </c>
      <c r="U13" s="1" t="s">
        <v>120</v>
      </c>
      <c r="Z13" t="s">
        <v>121</v>
      </c>
    </row>
    <row r="14" spans="1:26" x14ac:dyDescent="0.35">
      <c r="A14" t="s">
        <v>122</v>
      </c>
      <c r="B14" t="s">
        <v>123</v>
      </c>
      <c r="C14" t="str">
        <f>"+97338230555"</f>
        <v>+97338230555</v>
      </c>
      <c r="D14" t="s">
        <v>85</v>
      </c>
      <c r="E14">
        <v>3</v>
      </c>
      <c r="F14">
        <v>3</v>
      </c>
      <c r="G14" t="str">
        <f>"2026-01-14 11:04:48"</f>
        <v>2026-01-14 11:04:48</v>
      </c>
      <c r="H14" s="1" t="s">
        <v>124</v>
      </c>
      <c r="I14" t="s">
        <v>125</v>
      </c>
      <c r="J14" t="s">
        <v>32</v>
      </c>
      <c r="K14">
        <v>3</v>
      </c>
      <c r="L14">
        <v>1</v>
      </c>
      <c r="M14" t="s">
        <v>126</v>
      </c>
      <c r="N14" t="s">
        <v>34</v>
      </c>
      <c r="Q14" t="s">
        <v>35</v>
      </c>
      <c r="R14" s="1" t="s">
        <v>36</v>
      </c>
      <c r="S14">
        <v>542781</v>
      </c>
      <c r="T14" t="s">
        <v>37</v>
      </c>
      <c r="U14" s="1" t="s">
        <v>127</v>
      </c>
      <c r="Z14" t="s">
        <v>128</v>
      </c>
    </row>
    <row r="15" spans="1:26" x14ac:dyDescent="0.35">
      <c r="A15" t="s">
        <v>129</v>
      </c>
      <c r="B15" t="s">
        <v>130</v>
      </c>
      <c r="C15" t="str">
        <f>"+97336622462"</f>
        <v>+97336622462</v>
      </c>
      <c r="D15" t="s">
        <v>59</v>
      </c>
      <c r="E15">
        <v>570</v>
      </c>
      <c r="F15">
        <v>570</v>
      </c>
      <c r="G15" t="str">
        <f>"2026-01-12 15:47:58"</f>
        <v>2026-01-12 15:47:58</v>
      </c>
      <c r="H15" s="1" t="s">
        <v>131</v>
      </c>
      <c r="I15" t="s">
        <v>132</v>
      </c>
      <c r="J15" t="s">
        <v>32</v>
      </c>
      <c r="K15">
        <v>570</v>
      </c>
      <c r="L15">
        <v>1</v>
      </c>
      <c r="M15" t="s">
        <v>133</v>
      </c>
      <c r="N15" t="s">
        <v>46</v>
      </c>
      <c r="Q15" t="s">
        <v>35</v>
      </c>
      <c r="R15" s="1" t="s">
        <v>36</v>
      </c>
      <c r="S15">
        <v>147674</v>
      </c>
      <c r="T15" t="s">
        <v>47</v>
      </c>
      <c r="Z15" t="s">
        <v>134</v>
      </c>
    </row>
    <row r="16" spans="1:26" x14ac:dyDescent="0.35">
      <c r="A16" t="s">
        <v>135</v>
      </c>
      <c r="B16" t="s">
        <v>136</v>
      </c>
      <c r="C16" t="str">
        <f>"+97333301977"</f>
        <v>+97333301977</v>
      </c>
      <c r="D16" t="s">
        <v>42</v>
      </c>
      <c r="E16">
        <v>1</v>
      </c>
      <c r="F16">
        <v>1</v>
      </c>
      <c r="G16" t="str">
        <f>"2026-01-11 23:30:45"</f>
        <v>2026-01-11 23:30:45</v>
      </c>
      <c r="H16" s="1" t="s">
        <v>137</v>
      </c>
      <c r="I16" t="s">
        <v>138</v>
      </c>
      <c r="J16" t="s">
        <v>32</v>
      </c>
      <c r="K16">
        <v>1</v>
      </c>
      <c r="L16">
        <v>1</v>
      </c>
      <c r="M16" t="s">
        <v>139</v>
      </c>
      <c r="N16" t="s">
        <v>46</v>
      </c>
      <c r="Q16" t="s">
        <v>35</v>
      </c>
      <c r="R16" s="1" t="s">
        <v>36</v>
      </c>
      <c r="S16">
        <v>129540</v>
      </c>
      <c r="T16" t="s">
        <v>47</v>
      </c>
      <c r="Z16" t="s">
        <v>48</v>
      </c>
    </row>
    <row r="17" spans="1:26" x14ac:dyDescent="0.35">
      <c r="A17" t="s">
        <v>140</v>
      </c>
      <c r="B17" t="s">
        <v>141</v>
      </c>
      <c r="C17" t="str">
        <f>"+97334666881"</f>
        <v>+97334666881</v>
      </c>
      <c r="D17" t="s">
        <v>142</v>
      </c>
      <c r="E17" t="s">
        <v>143</v>
      </c>
      <c r="F17">
        <v>3</v>
      </c>
      <c r="G17" t="str">
        <f>"2026-01-11 13:21:13"</f>
        <v>2026-01-11 13:21:13</v>
      </c>
      <c r="H17" s="1" t="s">
        <v>144</v>
      </c>
      <c r="I17" t="s">
        <v>145</v>
      </c>
      <c r="J17" t="s">
        <v>32</v>
      </c>
      <c r="K17">
        <v>3</v>
      </c>
      <c r="L17">
        <v>1</v>
      </c>
      <c r="M17" t="s">
        <v>146</v>
      </c>
      <c r="N17" t="s">
        <v>46</v>
      </c>
      <c r="Q17" t="s">
        <v>35</v>
      </c>
      <c r="R17" s="1" t="s">
        <v>36</v>
      </c>
      <c r="S17" s="1" t="s">
        <v>147</v>
      </c>
      <c r="T17" t="s">
        <v>47</v>
      </c>
      <c r="Z17" t="s">
        <v>148</v>
      </c>
    </row>
    <row r="18" spans="1:26" x14ac:dyDescent="0.35">
      <c r="A18" t="s">
        <v>77</v>
      </c>
      <c r="B18" t="s">
        <v>78</v>
      </c>
      <c r="C18" t="str">
        <f>"+97334441372"</f>
        <v>+97334441372</v>
      </c>
      <c r="D18" t="s">
        <v>42</v>
      </c>
      <c r="E18">
        <v>1</v>
      </c>
      <c r="F18">
        <v>1</v>
      </c>
      <c r="G18" t="str">
        <f>"2026-01-09 13:33:20"</f>
        <v>2026-01-09 13:33:20</v>
      </c>
      <c r="H18" s="1" t="s">
        <v>149</v>
      </c>
      <c r="I18" t="s">
        <v>150</v>
      </c>
      <c r="J18" t="s">
        <v>32</v>
      </c>
      <c r="K18">
        <v>1</v>
      </c>
      <c r="L18">
        <v>1</v>
      </c>
      <c r="M18" t="s">
        <v>151</v>
      </c>
      <c r="N18" t="s">
        <v>46</v>
      </c>
      <c r="Q18" t="s">
        <v>35</v>
      </c>
      <c r="R18" s="1" t="s">
        <v>36</v>
      </c>
      <c r="S18" s="1" t="s">
        <v>152</v>
      </c>
      <c r="T18" t="s">
        <v>47</v>
      </c>
      <c r="Z18" t="s">
        <v>48</v>
      </c>
    </row>
    <row r="19" spans="1:26" x14ac:dyDescent="0.35">
      <c r="A19" t="s">
        <v>153</v>
      </c>
      <c r="B19" t="s">
        <v>72</v>
      </c>
      <c r="C19" t="str">
        <f>"+97334395564"</f>
        <v>+97334395564</v>
      </c>
      <c r="D19" t="s">
        <v>92</v>
      </c>
      <c r="E19">
        <v>1</v>
      </c>
      <c r="F19">
        <v>1</v>
      </c>
      <c r="G19" t="str">
        <f>"2026-01-09 12:59:00"</f>
        <v>2026-01-09 12:59:00</v>
      </c>
      <c r="H19" s="1" t="s">
        <v>154</v>
      </c>
      <c r="I19" t="s">
        <v>155</v>
      </c>
      <c r="J19" t="s">
        <v>32</v>
      </c>
      <c r="K19">
        <v>1</v>
      </c>
      <c r="L19">
        <v>1</v>
      </c>
      <c r="M19" t="s">
        <v>156</v>
      </c>
      <c r="N19" t="s">
        <v>34</v>
      </c>
      <c r="Q19" t="s">
        <v>35</v>
      </c>
      <c r="R19" s="1" t="s">
        <v>36</v>
      </c>
      <c r="S19">
        <v>990348</v>
      </c>
      <c r="T19" t="s">
        <v>37</v>
      </c>
      <c r="U19" s="1" t="s">
        <v>157</v>
      </c>
      <c r="Z19" t="s">
        <v>96</v>
      </c>
    </row>
    <row r="20" spans="1:26" x14ac:dyDescent="0.35">
      <c r="A20" t="s">
        <v>83</v>
      </c>
      <c r="B20" t="s">
        <v>84</v>
      </c>
      <c r="C20" t="str">
        <f>"+97336652286"</f>
        <v>+97336652286</v>
      </c>
      <c r="D20" t="s">
        <v>85</v>
      </c>
      <c r="E20">
        <v>11</v>
      </c>
      <c r="F20">
        <v>11</v>
      </c>
      <c r="G20" t="str">
        <f>"2026-01-09 11:12:18"</f>
        <v>2026-01-09 11:12:18</v>
      </c>
      <c r="H20" s="1" t="s">
        <v>158</v>
      </c>
      <c r="I20" t="s">
        <v>159</v>
      </c>
      <c r="J20" t="s">
        <v>32</v>
      </c>
      <c r="K20">
        <v>11</v>
      </c>
      <c r="L20">
        <v>1</v>
      </c>
      <c r="M20" t="s">
        <v>160</v>
      </c>
      <c r="N20" t="s">
        <v>46</v>
      </c>
      <c r="Q20" t="s">
        <v>35</v>
      </c>
      <c r="R20" s="1" t="s">
        <v>36</v>
      </c>
      <c r="S20">
        <v>728575</v>
      </c>
      <c r="T20" t="s">
        <v>47</v>
      </c>
      <c r="Z20" t="s">
        <v>161</v>
      </c>
    </row>
    <row r="21" spans="1:26" x14ac:dyDescent="0.35">
      <c r="A21" t="s">
        <v>162</v>
      </c>
      <c r="B21" t="s">
        <v>163</v>
      </c>
      <c r="C21" t="str">
        <f>"+97338088082"</f>
        <v>+97338088082</v>
      </c>
      <c r="D21" t="s">
        <v>42</v>
      </c>
      <c r="E21">
        <v>1</v>
      </c>
      <c r="F21">
        <v>1</v>
      </c>
      <c r="G21" t="str">
        <f>"2026-01-09 10:40:28"</f>
        <v>2026-01-09 10:40:28</v>
      </c>
      <c r="H21" s="1" t="s">
        <v>164</v>
      </c>
      <c r="I21" t="s">
        <v>165</v>
      </c>
      <c r="J21" t="s">
        <v>32</v>
      </c>
      <c r="K21">
        <v>1</v>
      </c>
      <c r="L21">
        <v>1</v>
      </c>
      <c r="M21" t="s">
        <v>166</v>
      </c>
      <c r="N21" t="s">
        <v>104</v>
      </c>
      <c r="Q21" t="s">
        <v>35</v>
      </c>
      <c r="R21" s="1" t="s">
        <v>36</v>
      </c>
      <c r="S21">
        <v>149949</v>
      </c>
      <c r="T21" t="s">
        <v>47</v>
      </c>
      <c r="Z21" t="s">
        <v>48</v>
      </c>
    </row>
    <row r="22" spans="1:26" x14ac:dyDescent="0.35">
      <c r="A22" t="s">
        <v>162</v>
      </c>
      <c r="B22" t="s">
        <v>163</v>
      </c>
      <c r="C22" t="str">
        <f>"+97338088082"</f>
        <v>+97338088082</v>
      </c>
      <c r="D22" t="s">
        <v>42</v>
      </c>
      <c r="E22">
        <v>1</v>
      </c>
      <c r="F22">
        <v>1</v>
      </c>
      <c r="G22" t="str">
        <f>"2026-01-07 15:57:38"</f>
        <v>2026-01-07 15:57:38</v>
      </c>
      <c r="Z22" t="s">
        <v>167</v>
      </c>
    </row>
    <row r="23" spans="1:26" x14ac:dyDescent="0.35">
      <c r="A23" t="s">
        <v>168</v>
      </c>
      <c r="B23" t="s">
        <v>115</v>
      </c>
      <c r="C23" t="str">
        <f>"+97338006663"</f>
        <v>+97338006663</v>
      </c>
      <c r="D23" t="s">
        <v>116</v>
      </c>
      <c r="E23">
        <v>1</v>
      </c>
      <c r="F23">
        <v>1</v>
      </c>
      <c r="G23" t="str">
        <f>"2026-01-06 05:17:15"</f>
        <v>2026-01-06 05:17:15</v>
      </c>
      <c r="Z23" t="s">
        <v>169</v>
      </c>
    </row>
    <row r="24" spans="1:26" x14ac:dyDescent="0.35">
      <c r="A24" t="s">
        <v>170</v>
      </c>
      <c r="B24" t="s">
        <v>171</v>
      </c>
      <c r="C24" t="str">
        <f>"+97339806564"</f>
        <v>+97339806564</v>
      </c>
      <c r="D24" t="s">
        <v>42</v>
      </c>
      <c r="E24">
        <v>10</v>
      </c>
      <c r="F24">
        <v>10</v>
      </c>
      <c r="G24" t="str">
        <f>"2026-01-04 09:39:47"</f>
        <v>2026-01-04 09:39:47</v>
      </c>
      <c r="Z24" t="s">
        <v>172</v>
      </c>
    </row>
    <row r="25" spans="1:26" x14ac:dyDescent="0.35">
      <c r="A25" t="s">
        <v>173</v>
      </c>
      <c r="B25" t="s">
        <v>115</v>
      </c>
      <c r="C25" t="str">
        <f>"+97338006663"</f>
        <v>+97338006663</v>
      </c>
      <c r="D25" t="s">
        <v>42</v>
      </c>
      <c r="E25">
        <v>2</v>
      </c>
      <c r="F25">
        <v>2</v>
      </c>
      <c r="G25" t="str">
        <f>"2026-01-04 09:11:43"</f>
        <v>2026-01-04 09:11:43</v>
      </c>
      <c r="Z25" t="s">
        <v>174</v>
      </c>
    </row>
    <row r="26" spans="1:26" x14ac:dyDescent="0.35">
      <c r="A26" t="s">
        <v>175</v>
      </c>
      <c r="B26" t="s">
        <v>176</v>
      </c>
      <c r="C26" t="str">
        <f>"+97332278187"</f>
        <v>+97332278187</v>
      </c>
      <c r="D26" t="s">
        <v>85</v>
      </c>
      <c r="E26">
        <v>1</v>
      </c>
      <c r="F26">
        <v>1</v>
      </c>
      <c r="G26" t="str">
        <f>"2026-01-03 13:48:03"</f>
        <v>2026-01-03 13:48:03</v>
      </c>
      <c r="Z26" t="s">
        <v>177</v>
      </c>
    </row>
    <row r="27" spans="1:26" x14ac:dyDescent="0.35">
      <c r="A27" t="s">
        <v>77</v>
      </c>
      <c r="B27" t="s">
        <v>78</v>
      </c>
      <c r="C27" t="str">
        <f>"+97334441372"</f>
        <v>+97334441372</v>
      </c>
      <c r="D27" t="s">
        <v>42</v>
      </c>
      <c r="E27">
        <v>1</v>
      </c>
      <c r="F27">
        <v>1</v>
      </c>
      <c r="G27" t="str">
        <f>"2026-01-02 13:24:39"</f>
        <v>2026-01-02 13:24:39</v>
      </c>
      <c r="Z27" t="s">
        <v>167</v>
      </c>
    </row>
    <row r="28" spans="1:26" x14ac:dyDescent="0.35">
      <c r="A28" t="s">
        <v>178</v>
      </c>
      <c r="B28" t="s">
        <v>179</v>
      </c>
      <c r="C28" t="str">
        <f>"+97366333414"</f>
        <v>+97366333414</v>
      </c>
      <c r="D28" t="s">
        <v>92</v>
      </c>
      <c r="E28">
        <v>1</v>
      </c>
      <c r="F28">
        <v>1</v>
      </c>
      <c r="G28" t="str">
        <f>"2026-01-02 13:16:31"</f>
        <v>2026-01-02 13:16:31</v>
      </c>
      <c r="Z28" t="s">
        <v>180</v>
      </c>
    </row>
    <row r="29" spans="1:26" x14ac:dyDescent="0.35">
      <c r="A29" t="s">
        <v>178</v>
      </c>
      <c r="B29" t="s">
        <v>179</v>
      </c>
      <c r="C29" t="str">
        <f>"+97366333414"</f>
        <v>+97366333414</v>
      </c>
      <c r="D29" t="s">
        <v>92</v>
      </c>
      <c r="E29">
        <v>1</v>
      </c>
      <c r="F29">
        <v>1</v>
      </c>
      <c r="G29" t="str">
        <f>"2026-01-02 13:14:19"</f>
        <v>2026-01-02 13:14:19</v>
      </c>
      <c r="Z29" t="s">
        <v>180</v>
      </c>
    </row>
    <row r="30" spans="1:26" x14ac:dyDescent="0.35">
      <c r="A30" t="s">
        <v>181</v>
      </c>
      <c r="B30" t="s">
        <v>182</v>
      </c>
      <c r="C30" t="str">
        <f>"+97333002737"</f>
        <v>+97333002737</v>
      </c>
      <c r="D30" t="s">
        <v>51</v>
      </c>
      <c r="E30">
        <v>10</v>
      </c>
      <c r="F30">
        <v>10</v>
      </c>
      <c r="G30" t="str">
        <f>"2026-01-02 09:43:33"</f>
        <v>2026-01-02 09:43:33</v>
      </c>
      <c r="Z30" t="s">
        <v>183</v>
      </c>
    </row>
    <row r="31" spans="1:26" x14ac:dyDescent="0.35">
      <c r="A31" t="s">
        <v>83</v>
      </c>
      <c r="B31" t="s">
        <v>84</v>
      </c>
      <c r="C31" t="str">
        <f>"+97336652286"</f>
        <v>+97336652286</v>
      </c>
      <c r="D31" t="s">
        <v>85</v>
      </c>
      <c r="E31">
        <v>10</v>
      </c>
      <c r="F31">
        <v>10</v>
      </c>
      <c r="G31" t="str">
        <f>"2026-01-02 09:41:57"</f>
        <v>2026-01-02 09:41:57</v>
      </c>
      <c r="Z3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Abdulaziz Murad</dc:creator>
  <cp:lastModifiedBy>Hasan Abdulaziz Murad</cp:lastModifiedBy>
  <dcterms:created xsi:type="dcterms:W3CDTF">2026-01-20T15:55:18Z</dcterms:created>
  <dcterms:modified xsi:type="dcterms:W3CDTF">2026-01-20T15:55:44Z</dcterms:modified>
</cp:coreProperties>
</file>